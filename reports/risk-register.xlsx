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7cc2e4e10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0c272c8e6bf47f9"/>
    <x:sheet xmlns:r="http://schemas.openxmlformats.org/officeDocument/2006/relationships" name="Risk Register" sheetId="2" r:id="R94e7346228b74d6b"/>
    <x:sheet xmlns:r="http://schemas.openxmlformats.org/officeDocument/2006/relationships" name="Control Mapping" sheetId="3" r:id="R4aa80f407d9e445c"/>
    <x:sheet xmlns:r="http://schemas.openxmlformats.org/officeDocument/2006/relationships" name="Action Plan" sheetId="4" r:id="R9bc94dd1b9c146a9"/>
    <x:sheet xmlns:r="http://schemas.openxmlformats.org/officeDocument/2006/relationships" name="Scoring Guide" sheetId="5" r:id="Rbd708144e74f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F6B7A"/>
      <x:name val="Carlito"/>
    </x:font>
    <x:font>
      <x:b/>
      <x:sz val="11"/>
      <x:color rgb="FFFFFFFF"/>
      <x:name val="Carlito"/>
    </x:font>
    <x:font>
      <x:sz val="10"/>
      <x:color rgb="FF172B4D"/>
      <x:name val="Carlito"/>
    </x:font>
    <x:font>
      <x:b/>
      <x:sz val="14"/>
      <x:color rgb="FF12344D"/>
      <x:name val="Carlito"/>
    </x:font>
    <x:font>
      <x:b/>
      <x:sz val="12"/>
      <x:color rgb="FF172B4D"/>
      <x:name val="Carlito"/>
    </x:font>
    <x:font>
      <x:b/>
      <x:sz val="10"/>
      <x:color rgb="FFFFFFFF"/>
      <x:name val="Carlito"/>
    </x:font>
    <x:font>
      <x:b/>
      <x:sz val="18"/>
      <x:color rgb="FFFFFFFF"/>
      <x:name val="Aptos"/>
    </x:font>
    <x:font>
      <x:i/>
      <x:sz val="11"/>
      <x:color rgb="FF5F6B7A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2"/>
      <x:color rgb="FF172B4D"/>
      <x:name val="Aptos"/>
    </x:font>
    <x:font>
      <x:sz val="10"/>
      <x:color rgb="FF172B4D"/>
      <x:name val="Aptos"/>
    </x:font>
    <x:font>
      <x:b/>
      <x:sz val="14"/>
      <x:color rgb="FF12344D"/>
      <x:name val="Aptos"/>
    </x:font>
    <x:font>
      <x:b/>
      <x:sz val="10"/>
      <x:color rgb="FFFFFFFF"/>
      <x:name val="Aptos"/>
    </x:font>
    <x:font>
      <x:b/>
      <x:sz val="10"/>
      <x:color rgb="FF12344D"/>
      <x:name val="Carlito"/>
    </x:font>
    <x:font>
      <x:b/>
      <x:sz val="10"/>
      <x:color rgb="FF12344D"/>
      <x:name val="Aptos"/>
    </x:font>
    <x:font>
      <x:i/>
      <x:sz val="11"/>
      <x:color rgb="FF172B4D"/>
      <x:name val="Carlito"/>
    </x:font>
    <x:font>
      <x:i/>
      <x:sz val="11"/>
      <x:color rgb="FF172B4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EAF3F8"/>
      </x:patternFill>
    </x:fill>
    <x:fill>
      <x:patternFill patternType="solid">
        <x:fgColor rgb="FF0078D4"/>
      </x:patternFill>
    </x:fill>
    <x:fill>
      <x:patternFill patternType="solid">
        <x:fgColor rgb="FFFFF8E1"/>
      </x:patternFill>
    </x:fill>
    <x:fill>
      <x:patternFill patternType="solid">
        <x:fgColor rgb="FFE8F5E9"/>
      </x:patternFill>
    </x:fill>
    <x:fill>
      <x:patternFill patternType="solid">
        <x:fgColor rgb="FFFFEBEE"/>
      </x:patternFill>
    </x:fill>
    <x:fill>
      <x:patternFill patternType="solid">
        <x:fgColor rgb="FFC62828"/>
      </x:patternFill>
    </x:fill>
  </x:fills>
  <x:borders count="19">
    <x:border/>
    <x:border>
      <x:left style="thin">
        <x:color rgb="FFC9D6E2"/>
      </x:left>
      <x:top style="thin">
        <x:color rgb="FFC9D6E2"/>
      </x:top>
      <x:bottom style="thin">
        <x:color rgb="FFC9D6E2"/>
      </x:bottom>
    </x:border>
    <x:border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bottom style="thin">
        <x:color rgb="FFC9D6E2"/>
      </x:bottom>
    </x:border>
    <x:border>
      <x:top style="thin">
        <x:color rgb="FFC9D6E2"/>
      </x:top>
      <x:bottom style="thin">
        <x:color rgb="FFC9D6E2"/>
      </x:bottom>
    </x:border>
    <x:border>
      <x:left style="medium">
        <x:color rgb="FFF9A825"/>
      </x:left>
      <x:top style="medium">
        <x:color rgb="FFF9A825"/>
      </x:top>
    </x:border>
    <x:border>
      <x:top style="medium">
        <x:color rgb="FFF9A825"/>
      </x:top>
    </x:border>
    <x:border>
      <x:right style="medium">
        <x:color rgb="FFF9A825"/>
      </x:right>
      <x:top style="medium">
        <x:color rgb="FFF9A825"/>
      </x:top>
    </x:border>
    <x:border>
      <x:left style="medium">
        <x:color rgb="FFF9A825"/>
      </x:left>
    </x:border>
    <x:border>
      <x:right style="medium">
        <x:color rgb="FFF9A825"/>
      </x:right>
    </x:border>
    <x:border>
      <x:left style="medium">
        <x:color rgb="FFF9A825"/>
      </x:left>
      <x:bottom style="medium">
        <x:color rgb="FFF9A825"/>
      </x:bottom>
    </x:border>
    <x:border>
      <x:bottom style="medium">
        <x:color rgb="FFF9A825"/>
      </x:bottom>
    </x:border>
    <x:border>
      <x:right style="medium">
        <x:color rgb="FFF9A825"/>
      </x:right>
      <x:bottom style="medium">
        <x:color rgb="FFF9A825"/>
      </x:bottom>
    </x:border>
    <x:border>
      <x:left style="thin">
        <x:color rgb="FFF9A825"/>
      </x:left>
      <x:top style="thin">
        <x:color rgb="FFF9A825"/>
      </x:top>
    </x:border>
    <x:border>
      <x:top style="thin">
        <x:color rgb="FFF9A825"/>
      </x:top>
    </x:border>
    <x:border>
      <x:right style="thin">
        <x:color rgb="FFF9A825"/>
      </x:right>
      <x:top style="thin">
        <x:color rgb="FFF9A825"/>
      </x:top>
    </x:border>
    <x:border>
      <x:left style="thin">
        <x:color rgb="FFF9A825"/>
      </x:left>
      <x:bottom style="thin">
        <x:color rgb="FFF9A825"/>
      </x:bottom>
    </x:border>
    <x:border>
      <x:bottom style="thin">
        <x:color rgb="FFF9A825"/>
      </x:bottom>
    </x:border>
    <x:border>
      <x:right style="thin">
        <x:color rgb="FFF9A825"/>
      </x:right>
      <x:bottom style="thin">
        <x:color rgb="FFF9A825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3" xfId="0" applyNumberFormat="1" applyFont="1" applyFill="1" applyBorder="1" applyAlignment="1">
      <x:alignment horizontal="left" vertical="top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4" fillId="3" borderId="3" xfId="0" applyNumberFormat="1" applyFont="1" applyFill="1" applyBorder="1" applyAlignment="1">
      <x:alignment horizontal="left" vertical="top" wrapText="1"/>
    </x:xf>
    <x:xf numFmtId="0" fontId="4" fillId="3" borderId="4" xfId="0" applyNumberFormat="1" applyFont="1" applyFill="1" applyBorder="1" applyAlignment="1">
      <x:alignment horizontal="left" vertical="top" wrapText="1"/>
    </x:xf>
    <x:xf numFmtId="0" fontId="5" fillId="3" borderId="3" xfId="0" applyNumberFormat="1" applyFont="1" applyFill="1" applyBorder="1" applyAlignment="1">
      <x:alignment horizontal="left" vertical="top" wrapText="1"/>
    </x:xf>
    <x:xf numFmtId="0" fontId="5" fillId="3" borderId="4" xfId="0" applyNumberFormat="1" applyFont="1" applyFill="1" applyBorder="1" applyAlignment="1">
      <x:alignment horizontal="left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horizontal="left" vertical="top" wrapText="1"/>
    </x:xf>
    <x:xf numFmtId="0" fontId="4" fillId="5" borderId="4" xfId="0" applyNumberFormat="1" applyFont="1" applyFill="1" applyBorder="1" applyAlignment="1">
      <x:alignment horizontal="left" vertical="top" wrapText="1"/>
    </x:xf>
    <x:xf numFmtId="0" fontId="4" fillId="7" borderId="4" xfId="0" applyNumberFormat="1" applyFont="1" applyFill="1" applyBorder="1" applyAlignment="1">
      <x:alignment horizontal="left" vertical="top" wrapText="1"/>
    </x:xf>
    <x:xf numFmtId="0" fontId="4" fillId="8" borderId="4" xfId="0" applyNumberFormat="1" applyFont="1" applyFill="1" applyBorder="1" applyAlignment="1">
      <x:alignment horizontal="left" vertical="top" wrapText="1"/>
    </x:xf>
    <x:xf numFmtId="0" fontId="7" fillId="8" borderId="4" xfId="0" applyNumberFormat="1" applyFont="1" applyFill="1" applyBorder="1" applyAlignment="1">
      <x:alignment horizontal="left" vertical="top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left" vertical="center" wrapText="1"/>
    </x:xf>
    <x:xf numFmtId="0" fontId="11" fillId="4" borderId="2" xfId="0" applyNumberFormat="1" applyFont="1" applyFill="1" applyBorder="1" applyAlignment="1">
      <x:alignment horizontal="left" vertical="center" wrapText="1"/>
    </x:xf>
    <x:xf numFmtId="0" fontId="12" fillId="5" borderId="5" xfId="0" applyNumberFormat="1" applyFont="1" applyFill="1" applyBorder="1" applyAlignment="1">
      <x:alignment vertical="center" wrapText="1"/>
    </x:xf>
    <x:xf numFmtId="0" fontId="12" fillId="5" borderId="6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 applyAlignment="1">
      <x:alignment vertical="center" wrapText="1"/>
    </x:xf>
    <x:xf numFmtId="0" fontId="13" fillId="0" borderId="3" xfId="0" applyNumberFormat="1" applyFont="1" applyFill="1" applyBorder="1" applyAlignment="1">
      <x:alignment horizontal="left" vertical="top" wrapText="1"/>
    </x:xf>
    <x:xf numFmtId="0" fontId="14" fillId="3" borderId="3" xfId="0" applyNumberFormat="1" applyFont="1" applyFill="1" applyBorder="1" applyAlignment="1">
      <x:alignment horizontal="center" vertical="center" wrapText="1"/>
    </x:xf>
    <x:xf numFmtId="0" fontId="12" fillId="5" borderId="8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9" xfId="0" applyNumberFormat="1" applyFont="1" applyFill="1" applyBorder="1" applyAlignment="1">
      <x:alignment vertical="center" wrapText="1"/>
    </x:xf>
    <x:xf numFmtId="0" fontId="13" fillId="0" borderId="4" xfId="0" applyNumberFormat="1" applyFont="1" applyFill="1" applyBorder="1" applyAlignment="1">
      <x:alignment horizontal="left" vertical="top" wrapText="1"/>
    </x:xf>
    <x:xf numFmtId="0" fontId="14" fillId="3" borderId="4" xfId="0" applyNumberFormat="1" applyFont="1" applyFill="1" applyBorder="1" applyAlignment="1">
      <x:alignment horizontal="center" vertical="center" wrapText="1"/>
    </x:xf>
    <x:xf numFmtId="0" fontId="12" fillId="5" borderId="10" xfId="0" applyNumberFormat="1" applyFont="1" applyFill="1" applyBorder="1" applyAlignment="1">
      <x:alignment vertical="center" wrapText="1"/>
    </x:xf>
    <x:xf numFmtId="0" fontId="12" fillId="5" borderId="11" xfId="0" applyNumberFormat="1" applyFont="1" applyFill="1" applyBorder="1" applyAlignment="1">
      <x:alignment vertical="center" wrapText="1"/>
    </x:xf>
    <x:xf numFmtId="0" fontId="12" fillId="5" borderId="12" xfId="0" applyNumberFormat="1" applyFont="1" applyFill="1" applyBorder="1" applyAlignment="1">
      <x:alignment vertical="center" wrapText="1"/>
    </x:xf>
    <x:xf numFmtId="0" fontId="13" fillId="6" borderId="3" xfId="0" applyNumberFormat="1" applyFont="1" applyFill="1" applyBorder="1" applyAlignment="1">
      <x:alignment horizontal="left" vertical="top" wrapText="1"/>
    </x:xf>
    <x:xf numFmtId="0" fontId="13" fillId="5" borderId="4" xfId="0" applyNumberFormat="1" applyFont="1" applyFill="1" applyBorder="1" applyAlignment="1">
      <x:alignment horizontal="left" vertical="top" wrapText="1"/>
    </x:xf>
    <x:xf numFmtId="0" fontId="13" fillId="7" borderId="4" xfId="0" applyNumberFormat="1" applyFont="1" applyFill="1" applyBorder="1" applyAlignment="1">
      <x:alignment horizontal="left" vertical="top" wrapText="1"/>
    </x:xf>
    <x:xf numFmtId="0" fontId="15" fillId="8" borderId="4" xfId="0" applyNumberFormat="1" applyFont="1" applyFill="1" applyBorder="1" applyAlignment="1">
      <x:alignment horizontal="left" vertical="top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200" fontId="4" fillId="0" borderId="3" xfId="0" applyNumberFormat="1" applyFont="1" applyFill="1" applyBorder="1" applyAlignment="1">
      <x:alignment horizontal="left" vertical="top" wrapText="1"/>
    </x:xf>
    <x:xf numFmtId="200" fontId="4" fillId="0" borderId="4" xfId="0" applyNumberFormat="1" applyFont="1" applyFill="1" applyBorder="1" applyAlignment="1">
      <x:alignment horizontal="left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20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200" fontId="4" fillId="0" borderId="4" xfId="0" applyNumberFormat="1" applyFont="1" applyFill="1" applyBorder="1" applyAlignment="1">
      <x:alignment horizontal="center" vertical="top" wrapText="1"/>
    </x:xf>
    <x:xf numFmtId="0" fontId="11" fillId="4" borderId="4" xfId="0" applyNumberFormat="1" applyFont="1" applyFill="1" applyBorder="1" applyAlignment="1">
      <x:alignment horizontal="left" vertical="center" wrapText="1"/>
    </x:xf>
    <x:xf numFmtId="0" fontId="13" fillId="0" borderId="3" xfId="0" applyNumberFormat="1" applyFont="1" applyFill="1" applyBorder="1" applyAlignment="1">
      <x:alignment horizontal="center" vertical="top" wrapText="1"/>
    </x:xf>
    <x:xf numFmtId="200" fontId="13" fillId="0" borderId="3" xfId="0" applyNumberFormat="1" applyFont="1" applyFill="1" applyBorder="1" applyAlignment="1">
      <x:alignment horizontal="center" vertical="top" wrapText="1"/>
    </x:xf>
    <x:xf numFmtId="0" fontId="13" fillId="0" borderId="4" xfId="0" applyNumberFormat="1" applyFont="1" applyFill="1" applyBorder="1" applyAlignment="1">
      <x:alignment horizontal="center" vertical="top" wrapText="1"/>
    </x:xf>
    <x:xf numFmtId="200" fontId="13" fillId="0" borderId="4" xfId="0" applyNumberFormat="1" applyFont="1" applyFill="1" applyBorder="1" applyAlignment="1">
      <x:alignment horizontal="center" vertical="top" wrapText="1"/>
    </x:xf>
    <x:xf numFmtId="0" fontId="16" fillId="3" borderId="3" xfId="0" applyNumberFormat="1" applyFont="1" applyFill="1" applyBorder="1" applyAlignment="1">
      <x:alignment horizontal="left" vertical="top" wrapText="1"/>
    </x:xf>
    <x:xf numFmtId="0" fontId="16" fillId="3" borderId="4" xfId="0" applyNumberFormat="1" applyFont="1" applyFill="1" applyBorder="1" applyAlignment="1">
      <x:alignment horizontal="left" vertical="top" wrapText="1"/>
    </x:xf>
    <x:xf numFmtId="0" fontId="16" fillId="3" borderId="3" xfId="0" applyNumberFormat="1" applyFont="1" applyFill="1" applyBorder="1" applyAlignment="1">
      <x:alignment horizontal="center" vertical="top" wrapText="1"/>
    </x:xf>
    <x:xf numFmtId="0" fontId="16" fillId="3" borderId="4" xfId="0" applyNumberFormat="1" applyFont="1" applyFill="1" applyBorder="1" applyAlignment="1">
      <x:alignment horizontal="center" vertical="top" wrapText="1"/>
    </x:xf>
    <x:xf numFmtId="0" fontId="17" fillId="3" borderId="3" xfId="0" applyNumberFormat="1" applyFont="1" applyFill="1" applyBorder="1" applyAlignment="1">
      <x:alignment horizontal="center" vertical="top" wrapText="1"/>
    </x:xf>
    <x:xf numFmtId="0" fontId="17" fillId="3" borderId="4" xfId="0" applyNumberFormat="1" applyFont="1" applyFill="1" applyBorder="1" applyAlignment="1">
      <x:alignment horizontal="center" vertical="top" wrapText="1"/>
    </x:xf>
    <x:xf numFmtId="0" fontId="18" fillId="5" borderId="0" xfId="0" applyNumberFormat="1" applyFont="1" applyFill="1" applyBorder="1"/>
    <x:xf numFmtId="0" fontId="18" fillId="5" borderId="13" xfId="0" applyNumberFormat="1" applyFont="1" applyFill="1" applyBorder="1"/>
    <x:xf numFmtId="0" fontId="18" fillId="5" borderId="14" xfId="0" applyNumberFormat="1" applyFont="1" applyFill="1" applyBorder="1"/>
    <x:xf numFmtId="0" fontId="18" fillId="5" borderId="15" xfId="0" applyNumberFormat="1" applyFont="1" applyFill="1" applyBorder="1"/>
    <x:xf numFmtId="0" fontId="18" fillId="5" borderId="16" xfId="0" applyNumberFormat="1" applyFont="1" applyFill="1" applyBorder="1"/>
    <x:xf numFmtId="0" fontId="18" fillId="5" borderId="17" xfId="0" applyNumberFormat="1" applyFont="1" applyFill="1" applyBorder="1"/>
    <x:xf numFmtId="0" fontId="18" fillId="5" borderId="18" xfId="0" applyNumberFormat="1" applyFont="1" applyFill="1" applyBorder="1"/>
    <x:xf numFmtId="0" fontId="18" fillId="5" borderId="13" xfId="0" applyNumberFormat="1" applyFont="1" applyFill="1" applyBorder="1" applyAlignment="1">
      <x:alignment wrapText="1"/>
    </x:xf>
    <x:xf numFmtId="0" fontId="18" fillId="5" borderId="14" xfId="0" applyNumberFormat="1" applyFont="1" applyFill="1" applyBorder="1" applyAlignment="1">
      <x:alignment wrapText="1"/>
    </x:xf>
    <x:xf numFmtId="0" fontId="18" fillId="5" borderId="15" xfId="0" applyNumberFormat="1" applyFont="1" applyFill="1" applyBorder="1" applyAlignment="1">
      <x:alignment wrapText="1"/>
    </x:xf>
    <x:xf numFmtId="0" fontId="18" fillId="5" borderId="16" xfId="0" applyNumberFormat="1" applyFont="1" applyFill="1" applyBorder="1" applyAlignment="1">
      <x:alignment wrapText="1"/>
    </x:xf>
    <x:xf numFmtId="0" fontId="18" fillId="5" borderId="17" xfId="0" applyNumberFormat="1" applyFont="1" applyFill="1" applyBorder="1" applyAlignment="1">
      <x:alignment wrapText="1"/>
    </x:xf>
    <x:xf numFmtId="0" fontId="18" fillId="5" borderId="18" xfId="0" applyNumberFormat="1" applyFont="1" applyFill="1" applyBorder="1" applyAlignment="1">
      <x:alignment wrapText="1"/>
    </x:xf>
    <x:xf numFmtId="0" fontId="18" fillId="5" borderId="13" xfId="0" applyNumberFormat="1" applyFont="1" applyFill="1" applyBorder="1" applyAlignment="1">
      <x:alignment vertical="center" wrapText="1"/>
    </x:xf>
    <x:xf numFmtId="0" fontId="18" fillId="5" borderId="14" xfId="0" applyNumberFormat="1" applyFont="1" applyFill="1" applyBorder="1" applyAlignment="1">
      <x:alignment vertical="center" wrapText="1"/>
    </x:xf>
    <x:xf numFmtId="0" fontId="18" fillId="5" borderId="15" xfId="0" applyNumberFormat="1" applyFont="1" applyFill="1" applyBorder="1" applyAlignment="1">
      <x:alignment vertical="center" wrapText="1"/>
    </x:xf>
    <x:xf numFmtId="0" fontId="18" fillId="5" borderId="16" xfId="0" applyNumberFormat="1" applyFont="1" applyFill="1" applyBorder="1" applyAlignment="1">
      <x:alignment vertical="center" wrapText="1"/>
    </x:xf>
    <x:xf numFmtId="0" fontId="18" fillId="5" borderId="17" xfId="0" applyNumberFormat="1" applyFont="1" applyFill="1" applyBorder="1" applyAlignment="1">
      <x:alignment vertical="center" wrapText="1"/>
    </x:xf>
    <x:xf numFmtId="0" fontId="18" fillId="5" borderId="18" xfId="0" applyNumberFormat="1" applyFont="1" applyFill="1" applyBorder="1" applyAlignment="1">
      <x:alignment vertical="center" wrapText="1"/>
    </x:xf>
    <x:xf numFmtId="0" fontId="19" fillId="5" borderId="13" xfId="0" applyNumberFormat="1" applyFont="1" applyFill="1" applyBorder="1" applyAlignment="1">
      <x:alignment vertical="center" wrapText="1"/>
    </x:xf>
    <x:xf numFmtId="0" fontId="19" fillId="5" borderId="14" xfId="0" applyNumberFormat="1" applyFont="1" applyFill="1" applyBorder="1" applyAlignment="1">
      <x:alignment vertical="center" wrapText="1"/>
    </x:xf>
    <x:xf numFmtId="0" fontId="19" fillId="5" borderId="15" xfId="0" applyNumberFormat="1" applyFont="1" applyFill="1" applyBorder="1" applyAlignment="1">
      <x:alignment vertical="center" wrapText="1"/>
    </x:xf>
    <x:xf numFmtId="0" fontId="19" fillId="5" borderId="16" xfId="0" applyNumberFormat="1" applyFont="1" applyFill="1" applyBorder="1" applyAlignment="1">
      <x:alignment vertical="center" wrapText="1"/>
    </x:xf>
    <x:xf numFmtId="0" fontId="19" fillId="5" borderId="17" xfId="0" applyNumberFormat="1" applyFont="1" applyFill="1" applyBorder="1" applyAlignment="1">
      <x:alignment vertical="center" wrapText="1"/>
    </x:xf>
    <x:xf numFmtId="0" fontId="19" fillId="5" borderId="1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C62828"/>
      </x:font>
      <x:fill>
        <x:patternFill patternType="solid">
          <x:bgColor rgb="FFFFEBEE"/>
        </x:patternFill>
      </x:fill>
    </x:dxf>
    <x:dxf>
      <x:font>
        <x:b/>
        <x:color rgb="FF8A5A00"/>
      </x:font>
      <x:fill>
        <x:patternFill patternType="solid">
          <x:bgColor rgb="FFFFF8E1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color rgb="FF12344D"/>
      </x:font>
      <x:fill>
        <x:patternFill patternType="solid">
          <x:bgColor rgb="FFEA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74a37943b4146" /><Relationship Type="http://schemas.openxmlformats.org/officeDocument/2006/relationships/theme" Target="/xl/theme/theme1.xml" Id="R4077db7d690c436f" /><Relationship Type="http://schemas.openxmlformats.org/officeDocument/2006/relationships/sharedStrings" Target="/xl/sharedStrings.xml" Id="Rc9ea341658ce443f" /><Relationship Type="http://schemas.openxmlformats.org/officeDocument/2006/relationships/worksheet" Target="/xl/worksheets/sheet1.xml" Id="Re0c272c8e6bf47f9" /><Relationship Type="http://schemas.openxmlformats.org/officeDocument/2006/relationships/worksheet" Target="/xl/worksheets/sheet2.xml" Id="R94e7346228b74d6b" /><Relationship Type="http://schemas.openxmlformats.org/officeDocument/2006/relationships/worksheet" Target="/xl/worksheets/sheet3.xml" Id="R4aa80f407d9e445c" /><Relationship Type="http://schemas.openxmlformats.org/officeDocument/2006/relationships/worksheet" Target="/xl/worksheets/sheet4.xml" Id="R9bc94dd1b9c146a9" /><Relationship Type="http://schemas.openxmlformats.org/officeDocument/2006/relationships/worksheet" Target="/xl/worksheets/sheet5.xml" Id="Rbd708144e74f46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87c80ba4cd4b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Inherent Risk Scores (1-25)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Inherent Score</c:v>
          </c:tx>
          <c:cat>
            <c:strRef>
              <c:f>'Executive Summary'!$A$12:$A$16</c:f>
              <c:strCache>
                <c:ptCount val="0"/>
              </c:strCache>
            </c:strRef>
          </c:cat>
          <c:val>
            <c:numRef>
              <c:f>'Executive Summary'!$B$12:$B$16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ax val="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87c80ba4cd4bf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a3eaad108d4e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68" t="str">
        <x:v>Azure Cloud Security Risk Assessment - Executive Summary</x:v>
      </x:c>
      <x:c r="B1" s="68" t="str">
        <x:v>Azure Cloud Security Risk Assessment - Executive Summary</x:v>
      </x:c>
      <x:c r="C1" s="68" t="str">
        <x:v>Azure Cloud Security Risk Assessment - Executive Summary</x:v>
      </x:c>
      <x:c r="D1" s="68" t="str">
        <x:v>Azure Cloud Security Risk Assessment - Executive Summary</x:v>
      </x:c>
      <x:c r="E1" s="68" t="str">
        <x:v>Azure Cloud Security Risk Assessment - Executive Summary</x:v>
      </x:c>
      <x:c r="F1" s="68" t="str">
        <x:v>Azure Cloud Security Risk Assessment - Executive Summary</x:v>
      </x:c>
      <x:c r="G1" s="68" t="str">
        <x:v>Azure Cloud Security Risk Assessment - Executive Summary</x:v>
      </x:c>
      <x:c r="H1" s="68" t="str">
        <x:v>Azure Cloud Security Risk Assessment - Executive Summary</x:v>
      </x:c>
    </x:row>
    <x:row r="2" ht="34" customHeight="1">
      <x:c r="A2" s="68" t="str">
        <x:v>Azure Cloud Security Risk Assessment - Executive Summary</x:v>
      </x:c>
      <x:c r="B2" s="68" t="str">
        <x:v>Azure Cloud Security Risk Assessment - Executive Summary</x:v>
      </x:c>
      <x:c r="C2" s="68" t="str">
        <x:v>Azure Cloud Security Risk Assessment - Executive Summary</x:v>
      </x:c>
      <x:c r="D2" s="68" t="str">
        <x:v>Azure Cloud Security Risk Assessment - Executive Summary</x:v>
      </x:c>
      <x:c r="E2" s="68" t="str">
        <x:v>Azure Cloud Security Risk Assessment - Executive Summary</x:v>
      </x:c>
      <x:c r="F2" s="68" t="str">
        <x:v>Azure Cloud Security Risk Assessment - Executive Summary</x:v>
      </x:c>
      <x:c r="G2" s="68" t="str">
        <x:v>Azure Cloud Security Risk Assessment - Executive Summary</x:v>
      </x:c>
      <x:c r="H2" s="68" t="str">
        <x:v>Azure Cloud Security Risk Assessment - Executive Summary</x:v>
      </x:c>
    </x:row>
    <x:row r="3">
      <x:c r="A3" s="69" t="str">
        <x:v>Point-in-time GRC simulation | GRC-WIN-VM01 | NIST CSF 2.0 and CIS Controls v8.1</x:v>
      </x:c>
      <x:c r="B3" s="69" t="str">
        <x:v>Point-in-time GRC simulation | GRC-WIN-VM01 | NIST CSF 2.0 and CIS Controls v8.1</x:v>
      </x:c>
      <x:c r="C3" s="69" t="str">
        <x:v>Point-in-time GRC simulation | GRC-WIN-VM01 | NIST CSF 2.0 and CIS Controls v8.1</x:v>
      </x:c>
      <x:c r="D3" s="69" t="str">
        <x:v>Point-in-time GRC simulation | GRC-WIN-VM01 | NIST CSF 2.0 and CIS Controls v8.1</x:v>
      </x:c>
      <x:c r="E3" s="69" t="str">
        <x:v>Point-in-time GRC simulation | GRC-WIN-VM01 | NIST CSF 2.0 and CIS Controls v8.1</x:v>
      </x:c>
      <x:c r="F3" s="69" t="str">
        <x:v>Point-in-time GRC simulation | GRC-WIN-VM01 | NIST CSF 2.0 and CIS Controls v8.1</x:v>
      </x:c>
      <x:c r="G3" s="69" t="str">
        <x:v>Point-in-time GRC simulation | GRC-WIN-VM01 | NIST CSF 2.0 and CIS Controls v8.1</x:v>
      </x:c>
      <x:c r="H3" s="69" t="str">
        <x:v>Point-in-time GRC simulation | GRC-WIN-VM01 | NIST CSF 2.0 and CIS Controls v8.1</x:v>
      </x:c>
    </x:row>
    <x:row r="4">
      <x:c r="A4" s="70"/>
      <x:c r="B4" s="70"/>
      <x:c r="C4" s="70"/>
      <x:c r="D4" s="70"/>
      <x:c r="E4" s="70"/>
      <x:c r="F4" s="70"/>
      <x:c r="G4" s="70"/>
      <x:c r="H4" s="70"/>
    </x:row>
    <x:row r="5" ht="30" customHeight="1">
      <x:c r="A5" s="71" t="str">
        <x:v>Metric</x:v>
      </x:c>
      <x:c r="B5" s="72" t="str">
        <x:v>Value</x:v>
      </x:c>
      <x:c r="C5" s="70"/>
      <x:c r="D5" s="73" t="str">
        <x:v>Overall inherent posture: MEDIUM-HIGH
Highest risk: R-01 public RDP exposure (16/25)
Validated treatment: NSG source restricted from Any to a trusted IPv4 /32. Residual score: 8/25 (Medium).</x:v>
      </x:c>
      <x:c r="E5" s="74" t="str">
        <x:v>Overall inherent posture: MEDIUM-HIGH
Highest risk: R-01 public RDP exposure (16/25)
Validated treatment: NSG source restricted from Any to a trusted IPv4 /32. Residual score: 8/25 (Medium).</x:v>
      </x:c>
      <x:c r="F5" s="74" t="str">
        <x:v>Overall inherent posture: MEDIUM-HIGH
Highest risk: R-01 public RDP exposure (16/25)
Validated treatment: NSG source restricted from Any to a trusted IPv4 /32. Residual score: 8/25 (Medium).</x:v>
      </x:c>
      <x:c r="G5" s="74" t="str">
        <x:v>Overall inherent posture: MEDIUM-HIGH
Highest risk: R-01 public RDP exposure (16/25)
Validated treatment: NSG source restricted from Any to a trusted IPv4 /32. Residual score: 8/25 (Medium).</x:v>
      </x:c>
      <x:c r="H5" s="75" t="str">
        <x:v>Overall inherent posture: MEDIUM-HIGH
Highest risk: R-01 public RDP exposure (16/25)
Validated treatment: NSG source restricted from Any to a trusted IPv4 /32. Residual score: 8/25 (Medium).</x:v>
      </x:c>
    </x:row>
    <x:row r="6">
      <x:c r="A6" s="76" t="str">
        <x:v>Total risks</x:v>
      </x:c>
      <x:c r="B6" s="77" t="n">
        <x:f>COUNTA('Risk Register'!$A$5:$A$9)</x:f>
        <x:v>5</x:v>
      </x:c>
      <x:c r="C6" s="70"/>
      <x:c r="D6" s="78" t="str">
        <x:v>Overall inherent posture: MEDIUM-HIGH
Highest risk: R-01 public RDP exposure (16/25)
Validated treatment: NSG source restricted from Any to a trusted IPv4 /32. Residual score: 8/25 (Medium).</x:v>
      </x:c>
      <x:c r="E6" s="79" t="str">
        <x:v>Overall inherent posture: MEDIUM-HIGH
Highest risk: R-01 public RDP exposure (16/25)
Validated treatment: NSG source restricted from Any to a trusted IPv4 /32. Residual score: 8/25 (Medium).</x:v>
      </x:c>
      <x:c r="F6" s="79" t="str">
        <x:v>Overall inherent posture: MEDIUM-HIGH
Highest risk: R-01 public RDP exposure (16/25)
Validated treatment: NSG source restricted from Any to a trusted IPv4 /32. Residual score: 8/25 (Medium).</x:v>
      </x:c>
      <x:c r="G6" s="79" t="str">
        <x:v>Overall inherent posture: MEDIUM-HIGH
Highest risk: R-01 public RDP exposure (16/25)
Validated treatment: NSG source restricted from Any to a trusted IPv4 /32. Residual score: 8/25 (Medium).</x:v>
      </x:c>
      <x:c r="H6" s="80" t="str">
        <x:v>Overall inherent posture: MEDIUM-HIGH
Highest risk: R-01 public RDP exposure (16/25)
Validated treatment: NSG source restricted from Any to a trusted IPv4 /32. Residual score: 8/25 (Medium).</x:v>
      </x:c>
    </x:row>
    <x:row r="7">
      <x:c r="A7" s="81" t="str">
        <x:v>High risks</x:v>
      </x:c>
      <x:c r="B7" s="82" t="n">
        <x:f>COUNTIF('Risk Register'!$H$5:$H$9,"High")</x:f>
        <x:v>4</x:v>
      </x:c>
      <x:c r="C7" s="70"/>
      <x:c r="D7" s="78" t="str">
        <x:v>Overall inherent posture: MEDIUM-HIGH
Highest risk: R-01 public RDP exposure (16/25)
Validated treatment: NSG source restricted from Any to a trusted IPv4 /32. Residual score: 8/25 (Medium).</x:v>
      </x:c>
      <x:c r="E7" s="79" t="str">
        <x:v>Overall inherent posture: MEDIUM-HIGH
Highest risk: R-01 public RDP exposure (16/25)
Validated treatment: NSG source restricted from Any to a trusted IPv4 /32. Residual score: 8/25 (Medium).</x:v>
      </x:c>
      <x:c r="F7" s="79" t="str">
        <x:v>Overall inherent posture: MEDIUM-HIGH
Highest risk: R-01 public RDP exposure (16/25)
Validated treatment: NSG source restricted from Any to a trusted IPv4 /32. Residual score: 8/25 (Medium).</x:v>
      </x:c>
      <x:c r="G7" s="79" t="str">
        <x:v>Overall inherent posture: MEDIUM-HIGH
Highest risk: R-01 public RDP exposure (16/25)
Validated treatment: NSG source restricted from Any to a trusted IPv4 /32. Residual score: 8/25 (Medium).</x:v>
      </x:c>
      <x:c r="H7" s="80" t="str">
        <x:v>Overall inherent posture: MEDIUM-HIGH
Highest risk: R-01 public RDP exposure (16/25)
Validated treatment: NSG source restricted from Any to a trusted IPv4 /32. Residual score: 8/25 (Medium).</x:v>
      </x:c>
    </x:row>
    <x:row r="8">
      <x:c r="A8" s="81" t="str">
        <x:v>Medium risks</x:v>
      </x:c>
      <x:c r="B8" s="82" t="n">
        <x:f>COUNTIF('Risk Register'!$H$5:$H$9,"Medium")</x:f>
        <x:v>1</x:v>
      </x:c>
      <x:c r="C8" s="70"/>
      <x:c r="D8" s="78" t="str">
        <x:v>Overall inherent posture: MEDIUM-HIGH
Highest risk: R-01 public RDP exposure (16/25)
Validated treatment: NSG source restricted from Any to a trusted IPv4 /32. Residual score: 8/25 (Medium).</x:v>
      </x:c>
      <x:c r="E8" s="79" t="str">
        <x:v>Overall inherent posture: MEDIUM-HIGH
Highest risk: R-01 public RDP exposure (16/25)
Validated treatment: NSG source restricted from Any to a trusted IPv4 /32. Residual score: 8/25 (Medium).</x:v>
      </x:c>
      <x:c r="F8" s="79" t="str">
        <x:v>Overall inherent posture: MEDIUM-HIGH
Highest risk: R-01 public RDP exposure (16/25)
Validated treatment: NSG source restricted from Any to a trusted IPv4 /32. Residual score: 8/25 (Medium).</x:v>
      </x:c>
      <x:c r="G8" s="79" t="str">
        <x:v>Overall inherent posture: MEDIUM-HIGH
Highest risk: R-01 public RDP exposure (16/25)
Validated treatment: NSG source restricted from Any to a trusted IPv4 /32. Residual score: 8/25 (Medium).</x:v>
      </x:c>
      <x:c r="H8" s="80" t="str">
        <x:v>Overall inherent posture: MEDIUM-HIGH
Highest risk: R-01 public RDP exposure (16/25)
Validated treatment: NSG source restricted from Any to a trusted IPv4 /32. Residual score: 8/25 (Medium).</x:v>
      </x:c>
    </x:row>
    <x:row r="9">
      <x:c r="A9" s="81" t="str">
        <x:v>Mitigations validated</x:v>
      </x:c>
      <x:c r="B9" s="82" t="n">
        <x:f>COUNTIF('Risk Register'!$N$5:$N$9,"Partially Mitigated")+COUNTIF('Risk Register'!$N$5:$N$9,"Mitigated")</x:f>
        <x:v>1</x:v>
      </x:c>
      <x:c r="C9" s="70"/>
      <x:c r="D9" s="83" t="str">
        <x:v>Overall inherent posture: MEDIUM-HIGH
Highest risk: R-01 public RDP exposure (16/25)
Validated treatment: NSG source restricted from Any to a trusted IPv4 /32. Residual score: 8/25 (Medium).</x:v>
      </x:c>
      <x:c r="E9" s="84" t="str">
        <x:v>Overall inherent posture: MEDIUM-HIGH
Highest risk: R-01 public RDP exposure (16/25)
Validated treatment: NSG source restricted from Any to a trusted IPv4 /32. Residual score: 8/25 (Medium).</x:v>
      </x:c>
      <x:c r="F9" s="84" t="str">
        <x:v>Overall inherent posture: MEDIUM-HIGH
Highest risk: R-01 public RDP exposure (16/25)
Validated treatment: NSG source restricted from Any to a trusted IPv4 /32. Residual score: 8/25 (Medium).</x:v>
      </x:c>
      <x:c r="G9" s="84" t="str">
        <x:v>Overall inherent posture: MEDIUM-HIGH
Highest risk: R-01 public RDP exposure (16/25)
Validated treatment: NSG source restricted from Any to a trusted IPv4 /32. Residual score: 8/25 (Medium).</x:v>
      </x:c>
      <x:c r="H9" s="85" t="str">
        <x:v>Overall inherent posture: MEDIUM-HIGH
Highest risk: R-01 public RDP exposure (16/25)
Validated treatment: NSG source restricted from Any to a trusted IPv4 /32. Residual score: 8/25 (Medium).</x:v>
      </x:c>
    </x:row>
    <x:row r="10">
      <x:c r="A10" s="70"/>
      <x:c r="B10" s="70"/>
      <x:c r="C10" s="70"/>
      <x:c r="D10" s="70"/>
      <x:c r="E10" s="70"/>
      <x:c r="F10" s="70"/>
      <x:c r="G10" s="70"/>
      <x:c r="H10" s="70"/>
    </x:row>
    <x:row r="11" ht="30" customHeight="1">
      <x:c r="A11" s="71" t="str">
        <x:v>Risk ID</x:v>
      </x:c>
      <x:c r="B11" s="72" t="str">
        <x:v>Inherent Score</x:v>
      </x:c>
      <x:c r="C11" s="70"/>
      <x:c r="D11" s="70"/>
      <x:c r="E11" s="70"/>
      <x:c r="F11" s="70"/>
      <x:c r="G11" s="70"/>
      <x:c r="H11" s="70"/>
    </x:row>
    <x:row r="12">
      <x:c r="A12" s="76" t="str">
        <x:v>R-01</x:v>
      </x:c>
      <x:c r="B12" s="76" t="n">
        <x:f>'Risk Register'!G5</x:f>
        <x:v>16</x:v>
      </x:c>
      <x:c r="C12" s="70"/>
      <x:c r="D12" s="70"/>
      <x:c r="E12" s="70"/>
      <x:c r="F12" s="70"/>
      <x:c r="G12" s="70"/>
      <x:c r="H12" s="70"/>
    </x:row>
    <x:row r="13">
      <x:c r="A13" s="81" t="str">
        <x:v>R-02</x:v>
      </x:c>
      <x:c r="B13" s="81" t="n">
        <x:f>'Risk Register'!G6</x:f>
        <x:v>15</x:v>
      </x:c>
      <x:c r="C13" s="70"/>
      <x:c r="D13" s="70"/>
      <x:c r="E13" s="70"/>
      <x:c r="F13" s="70"/>
      <x:c r="G13" s="70"/>
      <x:c r="H13" s="70"/>
    </x:row>
    <x:row r="14">
      <x:c r="A14" s="81" t="str">
        <x:v>R-03</x:v>
      </x:c>
      <x:c r="B14" s="81" t="n">
        <x:f>'Risk Register'!G7</x:f>
        <x:v>12</x:v>
      </x:c>
      <x:c r="C14" s="70"/>
      <x:c r="D14" s="70"/>
      <x:c r="E14" s="70"/>
      <x:c r="F14" s="70"/>
      <x:c r="G14" s="70"/>
      <x:c r="H14" s="70"/>
    </x:row>
    <x:row r="15">
      <x:c r="A15" s="81" t="str">
        <x:v>R-04</x:v>
      </x:c>
      <x:c r="B15" s="81" t="n">
        <x:f>'Risk Register'!G8</x:f>
        <x:v>10</x:v>
      </x:c>
      <x:c r="C15" s="70"/>
      <x:c r="D15" s="70"/>
      <x:c r="E15" s="70"/>
      <x:c r="F15" s="70"/>
      <x:c r="G15" s="70"/>
      <x:c r="H15" s="70"/>
    </x:row>
    <x:row r="16">
      <x:c r="A16" s="81" t="str">
        <x:v>R-05</x:v>
      </x:c>
      <x:c r="B16" s="81" t="n">
        <x:f>'Risk Register'!G9</x:f>
        <x:v>9</x:v>
      </x:c>
      <x:c r="C16" s="70"/>
      <x:c r="D16" s="70"/>
      <x:c r="E16" s="70"/>
      <x:c r="F16" s="70"/>
      <x:c r="G16" s="70"/>
      <x:c r="H16" s="70"/>
    </x:row>
    <x:row r="17">
      <x:c r="A17" s="70"/>
      <x:c r="B17" s="70"/>
      <x:c r="C17" s="70"/>
      <x:c r="D17" s="70"/>
      <x:c r="E17" s="70"/>
      <x:c r="F17" s="70"/>
      <x:c r="G17" s="70"/>
      <x:c r="H17" s="70"/>
    </x:row>
    <x:row r="18" ht="30" customHeight="1">
      <x:c r="A18" s="71" t="str">
        <x:v>Score</x:v>
      </x:c>
      <x:c r="B18" s="72" t="str">
        <x:v>Rating</x:v>
      </x:c>
      <x:c r="C18" s="70"/>
      <x:c r="D18" s="70"/>
      <x:c r="E18" s="70"/>
      <x:c r="F18" s="70"/>
      <x:c r="G18" s="70"/>
      <x:c r="H18" s="70"/>
    </x:row>
    <x:row r="19">
      <x:c r="A19" s="76" t="str">
        <x:v>1-4</x:v>
      </x:c>
      <x:c r="B19" s="86" t="str">
        <x:v>Low</x:v>
      </x:c>
      <x:c r="C19" s="70"/>
      <x:c r="D19" s="70"/>
      <x:c r="E19" s="70"/>
      <x:c r="F19" s="70"/>
      <x:c r="G19" s="70"/>
      <x:c r="H19" s="70"/>
    </x:row>
    <x:row r="20">
      <x:c r="A20" s="81" t="str">
        <x:v>5-9</x:v>
      </x:c>
      <x:c r="B20" s="87" t="str">
        <x:v>Medium</x:v>
      </x:c>
      <x:c r="C20" s="70"/>
      <x:c r="D20" s="70"/>
      <x:c r="E20" s="70"/>
      <x:c r="F20" s="70"/>
      <x:c r="G20" s="70"/>
      <x:c r="H20" s="70"/>
    </x:row>
    <x:row r="21">
      <x:c r="A21" s="81" t="str">
        <x:v>10-16</x:v>
      </x:c>
      <x:c r="B21" s="88" t="str">
        <x:v>High</x:v>
      </x:c>
      <x:c r="C21" s="70"/>
      <x:c r="D21" s="70"/>
      <x:c r="E21" s="70"/>
      <x:c r="F21" s="70"/>
      <x:c r="G21" s="70"/>
      <x:c r="H21" s="70"/>
    </x:row>
    <x:row r="22">
      <x:c r="A22" s="81" t="str">
        <x:v>17-25</x:v>
      </x:c>
      <x:c r="B22" s="89" t="str">
        <x:v>Critical</x:v>
      </x:c>
      <x:c r="C22" s="70"/>
      <x:c r="D22" s="70"/>
      <x:c r="E22" s="70"/>
      <x:c r="F22" s="70"/>
      <x:c r="G22" s="70"/>
      <x:c r="H22" s="70"/>
    </x:row>
    <x:row r="23">
      <x:c r="A23" s="70"/>
      <x:c r="B23" s="70"/>
      <x:c r="C23" s="70"/>
      <x:c r="D23" s="70"/>
      <x:c r="E23" s="70"/>
      <x:c r="F23" s="70"/>
      <x:c r="G23" s="70"/>
      <x:c r="H23" s="70"/>
    </x:row>
    <x:row r="24">
      <x:c r="A24" s="70"/>
      <x:c r="B24" s="70"/>
      <x:c r="C24" s="70"/>
      <x:c r="D24" s="70"/>
      <x:c r="E24" s="70"/>
      <x:c r="F24" s="70"/>
      <x:c r="G24" s="70"/>
      <x:c r="H24" s="70"/>
    </x:row>
    <x:row r="25">
      <x:c r="A25" s="70"/>
      <x:c r="B25" s="70"/>
      <x:c r="C25" s="70"/>
      <x:c r="D25" s="70"/>
      <x:c r="E25" s="70"/>
      <x:c r="F25" s="70"/>
      <x:c r="G25" s="70"/>
      <x:c r="H25" s="70"/>
    </x:row>
  </x:sheetData>
  <x:mergeCells>
    <x:mergeCell ref="A1:H2"/>
    <x:mergeCell ref="A3:H3"/>
    <x:mergeCell ref="D5:H9"/>
  </x:mergeCells>
  <x:pageMargins left="0.7" right="0.7" top="0.75" bottom="0.75" header="0.3" footer="0.3"/>
  <x:drawing xmlns:r="http://schemas.openxmlformats.org/officeDocument/2006/relationships" r:id="Rf7a3eaad108d4ee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40" hidden="0" customWidth="1"/>
    <x:col min="4" max="4" width="48" hidden="0" customWidth="1"/>
    <x:col min="5" max="5" width="12" hidden="0" customWidth="1"/>
    <x:col min="6" max="6" width="10" hidden="0" customWidth="1"/>
    <x:col min="7" max="7" width="14" hidden="0" customWidth="1"/>
    <x:col min="8" max="8" width="12" hidden="0" customWidth="1"/>
    <x:col min="9" max="9" width="38" hidden="0" customWidth="1"/>
    <x:col min="10" max="10" width="16" hidden="0" customWidth="1"/>
    <x:col min="11" max="11" width="14" hidden="0" customWidth="1"/>
    <x:col min="12" max="12" width="14" hidden="0" customWidth="1"/>
    <x:col min="13" max="13" width="15" hidden="0" customWidth="1"/>
    <x:col min="14" max="14" width="20" hidden="0" customWidth="1"/>
    <x:col min="15" max="15" width="16" hidden="0" customWidth="1"/>
    <x:col min="16" max="16" width="24" hidden="0" customWidth="1"/>
    <x:col min="17" max="17" width="14" hidden="0" customWidth="1"/>
  </x:cols>
  <x:sheetData>
    <x:row r="1" ht="34" customHeight="1">
      <x:c r="A1" s="68" t="str">
        <x:v>Risk Register</x:v>
      </x:c>
      <x:c r="B1" s="68" t="str">
        <x:v>Risk Register</x:v>
      </x:c>
      <x:c r="C1" s="68" t="str">
        <x:v>Risk Register</x:v>
      </x:c>
      <x:c r="D1" s="68" t="str">
        <x:v>Risk Register</x:v>
      </x:c>
      <x:c r="E1" s="68" t="str">
        <x:v>Risk Register</x:v>
      </x:c>
      <x:c r="F1" s="68" t="str">
        <x:v>Risk Register</x:v>
      </x:c>
      <x:c r="G1" s="68" t="str">
        <x:v>Risk Register</x:v>
      </x:c>
      <x:c r="H1" s="68" t="str">
        <x:v>Risk Register</x:v>
      </x:c>
      <x:c r="I1" s="68" t="str">
        <x:v>Risk Register</x:v>
      </x:c>
      <x:c r="J1" s="68" t="str">
        <x:v>Risk Register</x:v>
      </x:c>
      <x:c r="K1" s="68" t="str">
        <x:v>Risk Register</x:v>
      </x:c>
      <x:c r="L1" s="68" t="str">
        <x:v>Risk Register</x:v>
      </x:c>
      <x:c r="M1" s="68" t="str">
        <x:v>Risk Register</x:v>
      </x:c>
      <x:c r="N1" s="68" t="str">
        <x:v>Risk Register</x:v>
      </x:c>
      <x:c r="O1" s="68" t="str">
        <x:v>Risk Register</x:v>
      </x:c>
      <x:c r="P1" s="68" t="str">
        <x:v>Risk Register</x:v>
      </x:c>
      <x:c r="Q1" s="68" t="str">
        <x:v>Risk Register</x:v>
      </x:c>
    </x:row>
    <x:row r="2" ht="34" customHeight="1">
      <x:c r="A2" s="68" t="str">
        <x:v>Risk Register</x:v>
      </x:c>
      <x:c r="B2" s="68" t="str">
        <x:v>Risk Register</x:v>
      </x:c>
      <x:c r="C2" s="68" t="str">
        <x:v>Risk Register</x:v>
      </x:c>
      <x:c r="D2" s="68" t="str">
        <x:v>Risk Register</x:v>
      </x:c>
      <x:c r="E2" s="68" t="str">
        <x:v>Risk Register</x:v>
      </x:c>
      <x:c r="F2" s="68" t="str">
        <x:v>Risk Register</x:v>
      </x:c>
      <x:c r="G2" s="68" t="str">
        <x:v>Risk Register</x:v>
      </x:c>
      <x:c r="H2" s="68" t="str">
        <x:v>Risk Register</x:v>
      </x:c>
      <x:c r="I2" s="68" t="str">
        <x:v>Risk Register</x:v>
      </x:c>
      <x:c r="J2" s="68" t="str">
        <x:v>Risk Register</x:v>
      </x:c>
      <x:c r="K2" s="68" t="str">
        <x:v>Risk Register</x:v>
      </x:c>
      <x:c r="L2" s="68" t="str">
        <x:v>Risk Register</x:v>
      </x:c>
      <x:c r="M2" s="68" t="str">
        <x:v>Risk Register</x:v>
      </x:c>
      <x:c r="N2" s="68" t="str">
        <x:v>Risk Register</x:v>
      </x:c>
      <x:c r="O2" s="68" t="str">
        <x:v>Risk Register</x:v>
      </x:c>
      <x:c r="P2" s="68" t="str">
        <x:v>Risk Register</x:v>
      </x:c>
      <x:c r="Q2" s="68" t="str">
        <x:v>Risk Register</x:v>
      </x:c>
    </x:row>
    <x:row r="3">
      <x:c r="A3" s="69" t="str">
        <x:v>Likelihood x Impact | 1-4 Low | 5-9 Medium | 10-16 High | 17-25 Critical</x:v>
      </x:c>
      <x:c r="B3" s="69" t="str">
        <x:v>Likelihood x Impact | 1-4 Low | 5-9 Medium | 10-16 High | 17-25 Critical</x:v>
      </x:c>
      <x:c r="C3" s="69" t="str">
        <x:v>Likelihood x Impact | 1-4 Low | 5-9 Medium | 10-16 High | 17-25 Critical</x:v>
      </x:c>
      <x:c r="D3" s="69" t="str">
        <x:v>Likelihood x Impact | 1-4 Low | 5-9 Medium | 10-16 High | 17-25 Critical</x:v>
      </x:c>
      <x:c r="E3" s="69" t="str">
        <x:v>Likelihood x Impact | 1-4 Low | 5-9 Medium | 10-16 High | 17-25 Critical</x:v>
      </x:c>
      <x:c r="F3" s="69" t="str">
        <x:v>Likelihood x Impact | 1-4 Low | 5-9 Medium | 10-16 High | 17-25 Critical</x:v>
      </x:c>
      <x:c r="G3" s="69" t="str">
        <x:v>Likelihood x Impact | 1-4 Low | 5-9 Medium | 10-16 High | 17-25 Critical</x:v>
      </x:c>
      <x:c r="H3" s="69" t="str">
        <x:v>Likelihood x Impact | 1-4 Low | 5-9 Medium | 10-16 High | 17-25 Critical</x:v>
      </x:c>
      <x:c r="I3" s="69" t="str">
        <x:v>Likelihood x Impact | 1-4 Low | 5-9 Medium | 10-16 High | 17-25 Critical</x:v>
      </x:c>
      <x:c r="J3" s="69" t="str">
        <x:v>Likelihood x Impact | 1-4 Low | 5-9 Medium | 10-16 High | 17-25 Critical</x:v>
      </x:c>
      <x:c r="K3" s="69" t="str">
        <x:v>Likelihood x Impact | 1-4 Low | 5-9 Medium | 10-16 High | 17-25 Critical</x:v>
      </x:c>
      <x:c r="L3" s="69" t="str">
        <x:v>Likelihood x Impact | 1-4 Low | 5-9 Medium | 10-16 High | 17-25 Critical</x:v>
      </x:c>
      <x:c r="M3" s="69" t="str">
        <x:v>Likelihood x Impact | 1-4 Low | 5-9 Medium | 10-16 High | 17-25 Critical</x:v>
      </x:c>
      <x:c r="N3" s="69" t="str">
        <x:v>Likelihood x Impact | 1-4 Low | 5-9 Medium | 10-16 High | 17-25 Critical</x:v>
      </x:c>
      <x:c r="O3" s="69" t="str">
        <x:v>Likelihood x Impact | 1-4 Low | 5-9 Medium | 10-16 High | 17-25 Critical</x:v>
      </x:c>
      <x:c r="P3" s="69" t="str">
        <x:v>Likelihood x Impact | 1-4 Low | 5-9 Medium | 10-16 High | 17-25 Critical</x:v>
      </x:c>
      <x:c r="Q3" s="69" t="str">
        <x:v>Likelihood x Impact | 1-4 Low | 5-9 Medium | 10-16 High | 17-25 Critical</x:v>
      </x:c>
    </x:row>
    <x:row r="4" ht="30" customHeight="1">
      <x:c r="A4" s="71" t="str">
        <x:v>Risk ID</x:v>
      </x:c>
      <x:c r="B4" s="100" t="str">
        <x:v>Asset</x:v>
      </x:c>
      <x:c r="C4" s="100" t="str">
        <x:v>Threat Scenario</x:v>
      </x:c>
      <x:c r="D4" s="100" t="str">
        <x:v>Observed Weakness</x:v>
      </x:c>
      <x:c r="E4" s="100" t="str">
        <x:v>Likelihood</x:v>
      </x:c>
      <x:c r="F4" s="100" t="str">
        <x:v>Impact</x:v>
      </x:c>
      <x:c r="G4" s="100" t="str">
        <x:v>Inherent Score</x:v>
      </x:c>
      <x:c r="H4" s="100" t="str">
        <x:v>Rating</x:v>
      </x:c>
      <x:c r="I4" s="100" t="str">
        <x:v>Current Control</x:v>
      </x:c>
      <x:c r="J4" s="100" t="str">
        <x:v>Residual Likelihood</x:v>
      </x:c>
      <x:c r="K4" s="100" t="str">
        <x:v>Residual Impact</x:v>
      </x:c>
      <x:c r="L4" s="100" t="str">
        <x:v>Residual Score</x:v>
      </x:c>
      <x:c r="M4" s="100" t="str">
        <x:v>Residual Rating</x:v>
      </x:c>
      <x:c r="N4" s="100" t="str">
        <x:v>Status</x:v>
      </x:c>
      <x:c r="O4" s="100" t="str">
        <x:v>Evidence</x:v>
      </x:c>
      <x:c r="P4" s="100" t="str">
        <x:v>Owner</x:v>
      </x:c>
      <x:c r="Q4" s="72" t="str">
        <x:v>Target Date</x:v>
      </x:c>
    </x:row>
    <x:row r="5" ht="70" customHeight="1">
      <x:c r="A5" s="76" t="str">
        <x:v>R-01</x:v>
      </x:c>
      <x:c r="B5" s="76" t="str">
        <x:v>RDP / NSG</x:v>
      </x:c>
      <x:c r="C5" s="76" t="str">
        <x:v>Password spraying or brute-force access against RDP</x:v>
      </x:c>
      <x:c r="D5" s="76" t="str">
        <x:v>TCP/3389 initially allowed from Any source to a public IP</x:v>
      </x:c>
      <x:c r="E5" s="101" t="n">
        <x:v>4</x:v>
      </x:c>
      <x:c r="F5" s="101" t="n">
        <x:v>4</x:v>
      </x:c>
      <x:c r="G5" s="102" t="n">
        <x:f>E5*F5</x:f>
        <x:v>16</x:v>
      </x:c>
      <x:c r="H5" s="76" t="str">
        <x:f>IF(G5&gt;=17,"Critical",IF(G5&gt;=10,"High",IF(G5&gt;=5,"Medium","Low")))</x:f>
        <x:v>High</x:v>
      </x:c>
      <x:c r="I5" s="76" t="str">
        <x:v>NSG source restricted to trusted IPv4 /32</x:v>
      </x:c>
      <x:c r="J5" s="101" t="n">
        <x:v>2</x:v>
      </x:c>
      <x:c r="K5" s="101" t="n">
        <x:v>4</x:v>
      </x:c>
      <x:c r="L5" s="102" t="n">
        <x:f>IF(OR(J5="",K5=""),"",J5*K5)</x:f>
        <x:v>8</x:v>
      </x:c>
      <x:c r="M5" s="101" t="str">
        <x:f>IF(L5="","Not Assessed",IF(L5&gt;=17,"Critical",IF(L5&gt;=10,"High",IF(L5&gt;=5,"Medium","Low"))))</x:f>
        <x:v>Medium</x:v>
      </x:c>
      <x:c r="N5" s="76" t="str">
        <x:v>Partially Mitigated</x:v>
      </x:c>
      <x:c r="O5" s="76" t="str">
        <x:v>03, 04, 05, 14</x:v>
      </x:c>
      <x:c r="P5" s="76" t="str">
        <x:v>Cloud Administrator</x:v>
      </x:c>
      <x:c r="Q5" s="76" t="str">
        <x:v>Complete</x:v>
      </x:c>
    </x:row>
    <x:row r="6" ht="70" customHeight="1">
      <x:c r="A6" s="81" t="str">
        <x:v>R-02</x:v>
      </x:c>
      <x:c r="B6" s="81" t="str">
        <x:v>Local administrator</x:v>
      </x:c>
      <x:c r="C6" s="81" t="str">
        <x:v>Credential compromise provides full VM control</x:v>
      </x:c>
      <x:c r="D6" s="81" t="str">
        <x:v>Enabled azureadmin account is a local Administrator; MFA not demonstrated for this path</x:v>
      </x:c>
      <x:c r="E6" s="103" t="n">
        <x:v>3</x:v>
      </x:c>
      <x:c r="F6" s="103" t="n">
        <x:v>5</x:v>
      </x:c>
      <x:c r="G6" s="104" t="n">
        <x:f>E6*F6</x:f>
        <x:v>15</x:v>
      </x:c>
      <x:c r="H6" s="81" t="str">
        <x:f>IF(G6&gt;=17,"Critical",IF(G6&gt;=10,"High",IF(G6&gt;=5,"Medium","Low")))</x:f>
        <x:v>High</x:v>
      </x:c>
      <x:c r="I6" s="81" t="str">
        <x:v>Strong credential and NLA; further controls planned</x:v>
      </x:c>
      <x:c r="J6" s="103"/>
      <x:c r="K6" s="103"/>
      <x:c r="L6" s="104" t="str">
        <x:f>IF(OR(J6="",K6=""),"",J6*K6)</x:f>
      </x:c>
      <x:c r="M6" s="103" t="str">
        <x:f>IF(L6="","Not Assessed",IF(L6&gt;=17,"Critical",IF(L6&gt;=10,"High",IF(L6&gt;=5,"Medium","Low"))))</x:f>
        <x:v>Not Assessed</x:v>
      </x:c>
      <x:c r="N6" s="81" t="str">
        <x:v>Planned</x:v>
      </x:c>
      <x:c r="O6" s="81" t="str">
        <x:v>02, 06, 07</x:v>
      </x:c>
      <x:c r="P6" s="81" t="str">
        <x:v>Identity Administrator</x:v>
      </x:c>
      <x:c r="Q6" s="81" t="str">
        <x:v>30 days</x:v>
      </x:c>
    </x:row>
    <x:row r="7" ht="70" customHeight="1">
      <x:c r="A7" s="81" t="str">
        <x:v>R-03</x:v>
      </x:c>
      <x:c r="B7" s="81" t="str">
        <x:v>Windows OS</x:v>
      </x:c>
      <x:c r="C7" s="81" t="str">
        <x:v>Exploitation or defense impairment</x:v>
      </x:c>
      <x:c r="D7" s="81" t="str">
        <x:v>Automatic updates turned off; Tamper Protection and PUA blocking shown disabled</x:v>
      </x:c>
      <x:c r="E7" s="103" t="n">
        <x:v>3</x:v>
      </x:c>
      <x:c r="F7" s="103" t="n">
        <x:v>4</x:v>
      </x:c>
      <x:c r="G7" s="104" t="n">
        <x:f>E7*F7</x:f>
        <x:v>12</x:v>
      </x:c>
      <x:c r="H7" s="81" t="str">
        <x:f>IF(G7&gt;=17,"Critical",IF(G7&gt;=10,"High",IF(G7&gt;=5,"Medium","Low")))</x:f>
        <x:v>High</x:v>
      </x:c>
      <x:c r="I7" s="81" t="str">
        <x:v>Local Windows Security and update mechanisms present</x:v>
      </x:c>
      <x:c r="J7" s="103"/>
      <x:c r="K7" s="103"/>
      <x:c r="L7" s="104" t="str">
        <x:f>IF(OR(J7="",K7=""),"",J7*K7)</x:f>
      </x:c>
      <x:c r="M7" s="103" t="str">
        <x:f>IF(L7="","Not Assessed",IF(L7&gt;=17,"Critical",IF(L7&gt;=10,"High",IF(L7&gt;=5,"Medium","Low"))))</x:f>
        <x:v>Not Assessed</x:v>
      </x:c>
      <x:c r="N7" s="81" t="str">
        <x:v>Planned</x:v>
      </x:c>
      <x:c r="O7" s="81" t="str">
        <x:v>08, 11, 12</x:v>
      </x:c>
      <x:c r="P7" s="81" t="str">
        <x:v>Endpoint Administrator</x:v>
      </x:c>
      <x:c r="Q7" s="81" t="str">
        <x:v>30 days</x:v>
      </x:c>
    </x:row>
    <x:row r="8" ht="70" customHeight="1">
      <x:c r="A8" s="81" t="str">
        <x:v>R-04</x:v>
      </x:c>
      <x:c r="B8" s="81" t="str">
        <x:v>Azure subscription</x:v>
      </x:c>
      <x:c r="C8" s="81" t="str">
        <x:v>Privilege misuse or compromise of standing Owner access</x:v>
      </x:c>
      <x:c r="D8" s="81" t="str">
        <x:v>One account holds Owner at subscription scope</x:v>
      </x:c>
      <x:c r="E8" s="103" t="n">
        <x:v>2</x:v>
      </x:c>
      <x:c r="F8" s="103" t="n">
        <x:v>5</x:v>
      </x:c>
      <x:c r="G8" s="104" t="n">
        <x:f>E8*F8</x:f>
        <x:v>10</x:v>
      </x:c>
      <x:c r="H8" s="81" t="str">
        <x:f>IF(G8&gt;=17,"Critical",IF(G8&gt;=10,"High",IF(G8&gt;=5,"Medium","Low")))</x:f>
        <x:v>High</x:v>
      </x:c>
      <x:c r="I8" s="81" t="str">
        <x:v>Azure RBAC is available; lab acceptance documented</x:v>
      </x:c>
      <x:c r="J8" s="103"/>
      <x:c r="K8" s="103"/>
      <x:c r="L8" s="104" t="str">
        <x:f>IF(OR(J8="",K8=""),"",J8*K8)</x:f>
      </x:c>
      <x:c r="M8" s="103" t="str">
        <x:f>IF(L8="","Not Assessed",IF(L8&gt;=17,"Critical",IF(L8&gt;=10,"High",IF(L8&gt;=5,"Medium","Low"))))</x:f>
        <x:v>Not Assessed</x:v>
      </x:c>
      <x:c r="N8" s="81" t="str">
        <x:v>Accepted for Lab</x:v>
      </x:c>
      <x:c r="O8" s="81" t="str">
        <x:v>13</x:v>
      </x:c>
      <x:c r="P8" s="81" t="str">
        <x:v>Subscription Administrator</x:v>
      </x:c>
      <x:c r="Q8" s="81" t="str">
        <x:v>45 days</x:v>
      </x:c>
    </x:row>
    <x:row r="9" ht="70" customHeight="1">
      <x:c r="A9" s="81" t="str">
        <x:v>R-05</x:v>
      </x:c>
      <x:c r="B9" s="81" t="str">
        <x:v>Logs and monitoring</x:v>
      </x:c>
      <x:c r="C9" s="81" t="str">
        <x:v>Malicious activity is detected late</x:v>
      </x:c>
      <x:c r="D9" s="81" t="str">
        <x:v>Local Security logs exist, but Azure alerts and enhanced monitoring are not configured</x:v>
      </x:c>
      <x:c r="E9" s="103" t="n">
        <x:v>3</x:v>
      </x:c>
      <x:c r="F9" s="103" t="n">
        <x:v>3</x:v>
      </x:c>
      <x:c r="G9" s="104" t="n">
        <x:f>E9*F9</x:f>
        <x:v>9</x:v>
      </x:c>
      <x:c r="H9" s="81" t="str">
        <x:f>IF(G9&gt;=17,"Critical",IF(G9&gt;=10,"High",IF(G9&gt;=5,"Medium","Low")))</x:f>
        <x:v>Medium</x:v>
      </x:c>
      <x:c r="I9" s="81" t="str">
        <x:v>Local Windows Security event log</x:v>
      </x:c>
      <x:c r="J9" s="103"/>
      <x:c r="K9" s="103"/>
      <x:c r="L9" s="104" t="str">
        <x:f>IF(OR(J9="",K9=""),"",J9*K9)</x:f>
      </x:c>
      <x:c r="M9" s="103" t="str">
        <x:f>IF(L9="","Not Assessed",IF(L9&gt;=17,"Critical",IF(L9&gt;=10,"High",IF(L9&gt;=5,"Medium","Low"))))</x:f>
        <x:v>Not Assessed</x:v>
      </x:c>
      <x:c r="N9" s="81" t="str">
        <x:v>Planned</x:v>
      </x:c>
      <x:c r="O9" s="81" t="str">
        <x:v>09, 10</x:v>
      </x:c>
      <x:c r="P9" s="81" t="str">
        <x:v>SOC / Cloud Engineer</x:v>
      </x:c>
      <x:c r="Q9" s="81" t="str">
        <x:v>30 days</x:v>
      </x:c>
    </x:row>
  </x:sheetData>
  <x:mergeCells>
    <x:mergeCell ref="A1:Q2"/>
    <x:mergeCell ref="A3:Q3"/>
  </x:mergeCells>
  <x:conditionalFormatting sqref="G5:G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H5:H50">
    <x:cfRule type="containsText" dxfId="0" priority="2" operator="containsText" text="High"/>
    <x:cfRule type="containsText" dxfId="1" priority="3" operator="containsText" text="Medium"/>
  </x:conditionalFormatting>
  <x:conditionalFormatting sqref="N5:N50">
    <x:cfRule type="containsText" dxfId="2" priority="4" operator="containsText" text="Mitigated"/>
  </x:conditionalFormatting>
  <x:dataValidations count="3">
    <x:dataValidation type="whole" operator="between" sqref="E5:F9">
      <x:formula1>1</x:formula1>
      <x:formula2>5</x:formula2>
    </x:dataValidation>
    <x:dataValidation type="whole" operator="between" sqref="J5:K9">
      <x:formula1>1</x:formula1>
      <x:formula2>5</x:formula2>
    </x:dataValidation>
    <x:dataValidation type="list" sqref="N5:N50">
      <x:formula1>"Open,Planned,Partially Mitigated,Mitigated,Accepted for Lab"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2" hidden="0" customWidth="1"/>
    <x:col min="3" max="3" width="23" hidden="0" customWidth="1"/>
    <x:col min="4" max="4" width="22" hidden="0" customWidth="1"/>
    <x:col min="5" max="5" width="22" hidden="0" customWidth="1"/>
    <x:col min="6" max="6" width="42" hidden="0" customWidth="1"/>
  </x:cols>
  <x:sheetData>
    <x:row r="1" ht="34" customHeight="1">
      <x:c r="A1" s="68" t="str">
        <x:v>Security Control and Compliance Mapping</x:v>
      </x:c>
      <x:c r="B1" s="68" t="str">
        <x:v>Security Control and Compliance Mapping</x:v>
      </x:c>
      <x:c r="C1" s="68" t="str">
        <x:v>Security Control and Compliance Mapping</x:v>
      </x:c>
      <x:c r="D1" s="68" t="str">
        <x:v>Security Control and Compliance Mapping</x:v>
      </x:c>
      <x:c r="E1" s="68" t="str">
        <x:v>Security Control and Compliance Mapping</x:v>
      </x:c>
      <x:c r="F1" s="68" t="str">
        <x:v>Security Control and Compliance Mapping</x:v>
      </x:c>
    </x:row>
    <x:row r="2" ht="34" customHeight="1">
      <x:c r="A2" s="68" t="str">
        <x:v>Security Control and Compliance Mapping</x:v>
      </x:c>
      <x:c r="B2" s="68" t="str">
        <x:v>Security Control and Compliance Mapping</x:v>
      </x:c>
      <x:c r="C2" s="68" t="str">
        <x:v>Security Control and Compliance Mapping</x:v>
      </x:c>
      <x:c r="D2" s="68" t="str">
        <x:v>Security Control and Compliance Mapping</x:v>
      </x:c>
      <x:c r="E2" s="68" t="str">
        <x:v>Security Control and Compliance Mapping</x:v>
      </x:c>
      <x:c r="F2" s="68" t="str">
        <x:v>Security Control and Compliance Mapping</x:v>
      </x:c>
    </x:row>
    <x:row r="3">
      <x:c r="A3" s="70"/>
      <x:c r="B3" s="70"/>
      <x:c r="C3" s="70"/>
      <x:c r="D3" s="70"/>
      <x:c r="E3" s="70"/>
      <x:c r="F3" s="70"/>
    </x:row>
    <x:row r="4" ht="30" customHeight="1">
      <x:c r="A4" s="71" t="str">
        <x:v>Risk</x:v>
      </x:c>
      <x:c r="B4" s="100" t="str">
        <x:v>Recommended Safeguard</x:v>
      </x:c>
      <x:c r="C4" s="100" t="str">
        <x:v>Control Type</x:v>
      </x:c>
      <x:c r="D4" s="100" t="str">
        <x:v>NIST CSF 2.0</x:v>
      </x:c>
      <x:c r="E4" s="100" t="str">
        <x:v>CIS Controls v8.1</x:v>
      </x:c>
      <x:c r="F4" s="72" t="str">
        <x:v>Implementation Evidence</x:v>
      </x:c>
    </x:row>
    <x:row r="5" ht="58" customHeight="1">
      <x:c r="A5" s="109" t="str">
        <x:v>R-01</x:v>
      </x:c>
      <x:c r="B5" s="76" t="str">
        <x:v>Restrict administrative ingress; prefer Bastion, VPN/private access, or JIT</x:v>
      </x:c>
      <x:c r="C5" s="76" t="str">
        <x:v>Preventive</x:v>
      </x:c>
      <x:c r="D5" s="76" t="str">
        <x:v>PR.PS; PR.AA</x:v>
      </x:c>
      <x:c r="E5" s="76" t="str">
        <x:v>4.4; 12.2</x:v>
      </x:c>
      <x:c r="F5" s="76" t="str">
        <x:v>Evidence 14 shows trusted IPv4 /32</x:v>
      </x:c>
    </x:row>
    <x:row r="6" ht="58" customHeight="1">
      <x:c r="A6" s="110" t="str">
        <x:v>R-02</x:v>
      </x:c>
      <x:c r="B6" s="81" t="str">
        <x:v>Require MFA for administrative access and centralize authentication</x:v>
      </x:c>
      <x:c r="C6" s="81" t="str">
        <x:v>Preventive</x:v>
      </x:c>
      <x:c r="D6" s="81" t="str">
        <x:v>PR.AA</x:v>
      </x:c>
      <x:c r="E6" s="81" t="str">
        <x:v>6.4; 6.5; 6.7</x:v>
      </x:c>
      <x:c r="F6" s="81" t="str">
        <x:v>Planned</x:v>
      </x:c>
    </x:row>
    <x:row r="7" ht="58" customHeight="1">
      <x:c r="A7" s="110" t="str">
        <x:v>R-03</x:v>
      </x:c>
      <x:c r="B7" s="81" t="str">
        <x:v>Maintain secure endpoint configuration and automated OS patching</x:v>
      </x:c>
      <x:c r="C7" s="81" t="str">
        <x:v>Preventive / Corrective</x:v>
      </x:c>
      <x:c r="D7" s="81" t="str">
        <x:v>PR.PS</x:v>
      </x:c>
      <x:c r="E7" s="81" t="str">
        <x:v>4.1; 7.3</x:v>
      </x:c>
      <x:c r="F7" s="81" t="str">
        <x:v>Planned</x:v>
      </x:c>
    </x:row>
    <x:row r="8" ht="58" customHeight="1">
      <x:c r="A8" s="110" t="str">
        <x:v>R-04</x:v>
      </x:c>
      <x:c r="B8" s="81" t="str">
        <x:v>Apply least privilege, RBAC, separation of duties, and access reviews</x:v>
      </x:c>
      <x:c r="C8" s="81" t="str">
        <x:v>Governance / Preventive</x:v>
      </x:c>
      <x:c r="D8" s="81" t="str">
        <x:v>GV.RR; PR.AA</x:v>
      </x:c>
      <x:c r="E8" s="81" t="str">
        <x:v>5.1; 6.8</x:v>
      </x:c>
      <x:c r="F8" s="81" t="str">
        <x:v>Accepted for personal lab; production reduction planned</x:v>
      </x:c>
    </x:row>
    <x:row r="9" ht="58" customHeight="1">
      <x:c r="A9" s="110" t="str">
        <x:v>R-05</x:v>
      </x:c>
      <x:c r="B9" s="81" t="str">
        <x:v>Centralize guest logs and configure actionable alerts</x:v>
      </x:c>
      <x:c r="C9" s="81" t="str">
        <x:v>Detective</x:v>
      </x:c>
      <x:c r="D9" s="81" t="str">
        <x:v>DE.CM; DE.AE</x:v>
      </x:c>
      <x:c r="E9" s="81" t="str">
        <x:v>8.2; 8.11</x:v>
      </x:c>
      <x:c r="F9" s="81" t="str">
        <x:v>Planned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55" hidden="0" customWidth="1"/>
    <x:col min="4" max="4" width="10" hidden="0" customWidth="1"/>
    <x:col min="5" max="5" width="25" hidden="0" customWidth="1"/>
    <x:col min="6" max="6" width="14" hidden="0" customWidth="1"/>
    <x:col min="7" max="7" width="45" hidden="0" customWidth="1"/>
    <x:col min="8" max="8" width="16" hidden="0" customWidth="1"/>
  </x:cols>
  <x:sheetData>
    <x:row r="1" ht="34" customHeight="1">
      <x:c r="A1" s="68" t="str">
        <x:v>Risk Treatment Action Plan</x:v>
      </x:c>
      <x:c r="B1" s="68" t="str">
        <x:v>Risk Treatment Action Plan</x:v>
      </x:c>
      <x:c r="C1" s="68" t="str">
        <x:v>Risk Treatment Action Plan</x:v>
      </x:c>
      <x:c r="D1" s="68" t="str">
        <x:v>Risk Treatment Action Plan</x:v>
      </x:c>
      <x:c r="E1" s="68" t="str">
        <x:v>Risk Treatment Action Plan</x:v>
      </x:c>
      <x:c r="F1" s="68" t="str">
        <x:v>Risk Treatment Action Plan</x:v>
      </x:c>
      <x:c r="G1" s="68" t="str">
        <x:v>Risk Treatment Action Plan</x:v>
      </x:c>
      <x:c r="H1" s="68" t="str">
        <x:v>Risk Treatment Action Plan</x:v>
      </x:c>
    </x:row>
    <x:row r="2" ht="34" customHeight="1">
      <x:c r="A2" s="68" t="str">
        <x:v>Risk Treatment Action Plan</x:v>
      </x:c>
      <x:c r="B2" s="68" t="str">
        <x:v>Risk Treatment Action Plan</x:v>
      </x:c>
      <x:c r="C2" s="68" t="str">
        <x:v>Risk Treatment Action Plan</x:v>
      </x:c>
      <x:c r="D2" s="68" t="str">
        <x:v>Risk Treatment Action Plan</x:v>
      </x:c>
      <x:c r="E2" s="68" t="str">
        <x:v>Risk Treatment Action Plan</x:v>
      </x:c>
      <x:c r="F2" s="68" t="str">
        <x:v>Risk Treatment Action Plan</x:v>
      </x:c>
      <x:c r="G2" s="68" t="str">
        <x:v>Risk Treatment Action Plan</x:v>
      </x:c>
      <x:c r="H2" s="68" t="str">
        <x:v>Risk Treatment Action Plan</x:v>
      </x:c>
    </x:row>
    <x:row r="3">
      <x:c r="A3" s="70"/>
      <x:c r="B3" s="70"/>
      <x:c r="C3" s="70"/>
      <x:c r="D3" s="70"/>
      <x:c r="E3" s="70"/>
      <x:c r="F3" s="70"/>
      <x:c r="G3" s="70"/>
      <x:c r="H3" s="70"/>
    </x:row>
    <x:row r="4" ht="30" customHeight="1">
      <x:c r="A4" s="71" t="str">
        <x:v>Action ID</x:v>
      </x:c>
      <x:c r="B4" s="100" t="str">
        <x:v>Risk</x:v>
      </x:c>
      <x:c r="C4" s="100" t="str">
        <x:v>Action</x:v>
      </x:c>
      <x:c r="D4" s="100" t="str">
        <x:v>Priority</x:v>
      </x:c>
      <x:c r="E4" s="100" t="str">
        <x:v>Owner</x:v>
      </x:c>
      <x:c r="F4" s="100" t="str">
        <x:v>Target</x:v>
      </x:c>
      <x:c r="G4" s="100" t="str">
        <x:v>Success Measure</x:v>
      </x:c>
      <x:c r="H4" s="72" t="str">
        <x:v>Status</x:v>
      </x:c>
    </x:row>
    <x:row r="5" ht="50" customHeight="1">
      <x:c r="A5" s="76" t="str">
        <x:v>M-01</x:v>
      </x:c>
      <x:c r="B5" s="76" t="str">
        <x:v>R-01</x:v>
      </x:c>
      <x:c r="C5" s="76" t="str">
        <x:v>Restrict NSG RDP source to trusted IPv4 /32</x:v>
      </x:c>
      <x:c r="D5" s="101" t="str">
        <x:v>P0</x:v>
      </x:c>
      <x:c r="E5" s="76" t="str">
        <x:v>Cloud Administrator</x:v>
      </x:c>
      <x:c r="F5" s="76" t="str">
        <x:v>Immediate</x:v>
      </x:c>
      <x:c r="G5" s="76" t="str">
        <x:v>No Any source on TCP/3389; authorized RDP succeeds</x:v>
      </x:c>
      <x:c r="H5" s="76" t="str">
        <x:v>Complete</x:v>
      </x:c>
    </x:row>
    <x:row r="6" ht="50" customHeight="1">
      <x:c r="A6" s="81" t="str">
        <x:v>M-02</x:v>
      </x:c>
      <x:c r="B6" s="81" t="str">
        <x:v>R-01</x:v>
      </x:c>
      <x:c r="C6" s="81" t="str">
        <x:v>Replace direct public RDP with Bastion, VPN/private access, or JIT</x:v>
      </x:c>
      <x:c r="D6" s="103" t="str">
        <x:v>P0</x:v>
      </x:c>
      <x:c r="E6" s="81" t="str">
        <x:v>Cloud Architect</x:v>
      </x:c>
      <x:c r="F6" s="81" t="str">
        <x:v>30 days</x:v>
      </x:c>
      <x:c r="G6" s="81" t="str">
        <x:v>No continuously exposed public management port</x:v>
      </x:c>
      <x:c r="H6" s="81" t="str">
        <x:v>Planned</x:v>
      </x:c>
    </x:row>
    <x:row r="7" ht="50" customHeight="1">
      <x:c r="A7" s="81" t="str">
        <x:v>M-03</x:v>
      </x:c>
      <x:c r="B7" s="81" t="str">
        <x:v>R-02</x:v>
      </x:c>
      <x:c r="C7" s="81" t="str">
        <x:v>Require MFA-capable centralized authentication for administrative access</x:v>
      </x:c>
      <x:c r="D7" s="103" t="str">
        <x:v>P0</x:v>
      </x:c>
      <x:c r="E7" s="81" t="str">
        <x:v>Identity Administrator</x:v>
      </x:c>
      <x:c r="F7" s="81" t="str">
        <x:v>30 days</x:v>
      </x:c>
      <x:c r="G7" s="81" t="str">
        <x:v>Administrative access requires MFA where supported</x:v>
      </x:c>
      <x:c r="H7" s="81" t="str">
        <x:v>Planned</x:v>
      </x:c>
    </x:row>
    <x:row r="8" ht="50" customHeight="1">
      <x:c r="A8" s="81" t="str">
        <x:v>M-04</x:v>
      </x:c>
      <x:c r="B8" s="81" t="str">
        <x:v>R-03</x:v>
      </x:c>
      <x:c r="C8" s="81" t="str">
        <x:v>Enable automated patch orchestration and compliance reporting</x:v>
      </x:c>
      <x:c r="D8" s="103" t="str">
        <x:v>P1</x:v>
      </x:c>
      <x:c r="E8" s="81" t="str">
        <x:v>Endpoint Administrator</x:v>
      </x:c>
      <x:c r="F8" s="81" t="str">
        <x:v>30 days</x:v>
      </x:c>
      <x:c r="G8" s="81" t="str">
        <x:v>Scheduled patching and compliant status</x:v>
      </x:c>
      <x:c r="H8" s="81" t="str">
        <x:v>Planned</x:v>
      </x:c>
    </x:row>
    <x:row r="9" ht="50" customHeight="1">
      <x:c r="A9" s="81" t="str">
        <x:v>M-05</x:v>
      </x:c>
      <x:c r="B9" s="81" t="str">
        <x:v>R-03</x:v>
      </x:c>
      <x:c r="C9" s="81" t="str">
        <x:v>Enable Tamper Protection and PUA blocking</x:v>
      </x:c>
      <x:c r="D9" s="103" t="str">
        <x:v>P1</x:v>
      </x:c>
      <x:c r="E9" s="81" t="str">
        <x:v>Security Administrator</x:v>
      </x:c>
      <x:c r="F9" s="81" t="str">
        <x:v>14 days</x:v>
      </x:c>
      <x:c r="G9" s="81" t="str">
        <x:v>Windows Security warning states resolved</x:v>
      </x:c>
      <x:c r="H9" s="81" t="str">
        <x:v>Planned</x:v>
      </x:c>
    </x:row>
    <x:row r="10" ht="50" customHeight="1">
      <x:c r="A10" s="81" t="str">
        <x:v>M-06</x:v>
      </x:c>
      <x:c r="B10" s="81" t="str">
        <x:v>R-05</x:v>
      </x:c>
      <x:c r="C10" s="81" t="str">
        <x:v>Deploy Azure Monitor Agent and collect guest security events</x:v>
      </x:c>
      <x:c r="D10" s="103" t="str">
        <x:v>P1</x:v>
      </x:c>
      <x:c r="E10" s="81" t="str">
        <x:v>Cloud / SOC Engineer</x:v>
      </x:c>
      <x:c r="F10" s="81" t="str">
        <x:v>30 days</x:v>
      </x:c>
      <x:c r="G10" s="81" t="str">
        <x:v>Security events searchable in Log Analytics</x:v>
      </x:c>
      <x:c r="H10" s="81" t="str">
        <x:v>Planned</x:v>
      </x:c>
    </x:row>
    <x:row r="11" ht="50" customHeight="1">
      <x:c r="A11" s="81" t="str">
        <x:v>M-07</x:v>
      </x:c>
      <x:c r="B11" s="81" t="str">
        <x:v>R-05</x:v>
      </x:c>
      <x:c r="C11" s="81" t="str">
        <x:v>Configure alert rules and test action-group delivery</x:v>
      </x:c>
      <x:c r="D11" s="103" t="str">
        <x:v>P1</x:v>
      </x:c>
      <x:c r="E11" s="81" t="str">
        <x:v>SOC Engineer</x:v>
      </x:c>
      <x:c r="F11" s="81" t="str">
        <x:v>30 days</x:v>
      </x:c>
      <x:c r="G11" s="81" t="str">
        <x:v>Test notification received</x:v>
      </x:c>
      <x:c r="H11" s="81" t="str">
        <x:v>Planned</x:v>
      </x:c>
    </x:row>
    <x:row r="12" ht="50" customHeight="1">
      <x:c r="A12" s="81" t="str">
        <x:v>M-08</x:v>
      </x:c>
      <x:c r="B12" s="81" t="str">
        <x:v>R-04</x:v>
      </x:c>
      <x:c r="C12" s="81" t="str">
        <x:v>Review Owner access and implement least-privilege RBAC</x:v>
      </x:c>
      <x:c r="D12" s="103" t="str">
        <x:v>P2</x:v>
      </x:c>
      <x:c r="E12" s="81" t="str">
        <x:v>Subscription Administrator</x:v>
      </x:c>
      <x:c r="F12" s="81" t="str">
        <x:v>45 days</x:v>
      </x:c>
      <x:c r="G12" s="81" t="str">
        <x:v>No unnecessary permanent Owner assignment</x:v>
      </x:c>
      <x:c r="H12" s="81" t="str">
        <x:v>Planned</x:v>
      </x:c>
    </x:row>
  </x:sheetData>
  <x:mergeCells>
    <x:mergeCell ref="A1:H2"/>
  </x:mergeCells>
  <x:conditionalFormatting sqref="H5:H12">
    <x:cfRule type="containsText" dxfId="3" priority="1" operator="containsText" text="Complete"/>
    <x:cfRule type="containsText" dxfId="4" priority="2" operator="containsText" text="Planned"/>
  </x:conditionalFormatting>
  <x:dataValidations count="2">
    <x:dataValidation type="list" sqref="D5:D12">
      <x:formula1>"P0,P1,P2,P3"</x:formula1>
    </x:dataValidation>
    <x:dataValidation type="list" sqref="H5:H50">
      <x:formula1>"Open,Planned,In Progress,Complete,Accepted"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4" hidden="0" customWidth="1"/>
    <x:col min="4" max="4" width="14" hidden="0" customWidth="1"/>
    <x:col min="5" max="5" width="28" hidden="0" customWidth="1"/>
    <x:col min="6" max="6" width="4" hidden="0" customWidth="1"/>
  </x:cols>
  <x:sheetData>
    <x:row r="1" ht="34" customHeight="1">
      <x:c r="A1" s="68" t="str">
        <x:v>Risk Scoring Guide</x:v>
      </x:c>
      <x:c r="B1" s="68" t="str">
        <x:v>Risk Scoring Guide</x:v>
      </x:c>
      <x:c r="C1" s="68" t="str">
        <x:v>Risk Scoring Guide</x:v>
      </x:c>
      <x:c r="D1" s="68" t="str">
        <x:v>Risk Scoring Guide</x:v>
      </x:c>
      <x:c r="E1" s="68" t="str">
        <x:v>Risk Scoring Guide</x:v>
      </x:c>
      <x:c r="F1" s="68" t="str">
        <x:v>Risk Scoring Guide</x:v>
      </x:c>
    </x:row>
    <x:row r="2" ht="34" customHeight="1">
      <x:c r="A2" s="68" t="str">
        <x:v>Risk Scoring Guide</x:v>
      </x:c>
      <x:c r="B2" s="68" t="str">
        <x:v>Risk Scoring Guide</x:v>
      </x:c>
      <x:c r="C2" s="68" t="str">
        <x:v>Risk Scoring Guide</x:v>
      </x:c>
      <x:c r="D2" s="68" t="str">
        <x:v>Risk Scoring Guide</x:v>
      </x:c>
      <x:c r="E2" s="68" t="str">
        <x:v>Risk Scoring Guide</x:v>
      </x:c>
      <x:c r="F2" s="68" t="str">
        <x:v>Risk Scoring Guide</x:v>
      </x:c>
    </x:row>
    <x:row r="3">
      <x:c r="A3" s="70"/>
      <x:c r="B3" s="70"/>
      <x:c r="C3" s="70"/>
      <x:c r="D3" s="70"/>
      <x:c r="E3" s="70"/>
      <x:c r="F3" s="70"/>
    </x:row>
    <x:row r="4" ht="30" customHeight="1">
      <x:c r="A4" s="71" t="str">
        <x:v>Likelihood</x:v>
      </x:c>
      <x:c r="B4" s="72" t="str">
        <x:v>Definition</x:v>
      </x:c>
      <x:c r="C4" s="70"/>
      <x:c r="D4" s="71" t="str">
        <x:v>Impact</x:v>
      </x:c>
      <x:c r="E4" s="72" t="str">
        <x:v>Definition</x:v>
      </x:c>
      <x:c r="F4" s="70"/>
    </x:row>
    <x:row r="5">
      <x:c r="A5" s="76" t="n">
        <x:v>1</x:v>
      </x:c>
      <x:c r="B5" s="76" t="str">
        <x:v>Rare</x:v>
      </x:c>
      <x:c r="C5" s="70"/>
      <x:c r="D5" s="76" t="n">
        <x:v>1</x:v>
      </x:c>
      <x:c r="E5" s="76" t="str">
        <x:v>Minimal</x:v>
      </x:c>
      <x:c r="F5" s="70"/>
    </x:row>
    <x:row r="6">
      <x:c r="A6" s="81" t="n">
        <x:v>2</x:v>
      </x:c>
      <x:c r="B6" s="81" t="str">
        <x:v>Unlikely</x:v>
      </x:c>
      <x:c r="C6" s="70"/>
      <x:c r="D6" s="81" t="n">
        <x:v>2</x:v>
      </x:c>
      <x:c r="E6" s="81" t="str">
        <x:v>Minor</x:v>
      </x:c>
      <x:c r="F6" s="70"/>
    </x:row>
    <x:row r="7">
      <x:c r="A7" s="81" t="n">
        <x:v>3</x:v>
      </x:c>
      <x:c r="B7" s="81" t="str">
        <x:v>Possible</x:v>
      </x:c>
      <x:c r="C7" s="70"/>
      <x:c r="D7" s="81" t="n">
        <x:v>3</x:v>
      </x:c>
      <x:c r="E7" s="81" t="str">
        <x:v>Moderate</x:v>
      </x:c>
      <x:c r="F7" s="70"/>
    </x:row>
    <x:row r="8">
      <x:c r="A8" s="81" t="n">
        <x:v>4</x:v>
      </x:c>
      <x:c r="B8" s="81" t="str">
        <x:v>Likely</x:v>
      </x:c>
      <x:c r="C8" s="70"/>
      <x:c r="D8" s="81" t="n">
        <x:v>4</x:v>
      </x:c>
      <x:c r="E8" s="81" t="str">
        <x:v>High</x:v>
      </x:c>
      <x:c r="F8" s="70"/>
    </x:row>
    <x:row r="9">
      <x:c r="A9" s="81" t="n">
        <x:v>5</x:v>
      </x:c>
      <x:c r="B9" s="81" t="str">
        <x:v>Almost Certain</x:v>
      </x:c>
      <x:c r="C9" s="70"/>
      <x:c r="D9" s="81" t="n">
        <x:v>5</x:v>
      </x:c>
      <x:c r="E9" s="81" t="str">
        <x:v>Critical</x:v>
      </x:c>
      <x:c r="F9" s="70"/>
    </x:row>
    <x:row r="10">
      <x:c r="A10" s="70"/>
      <x:c r="B10" s="70"/>
      <x:c r="C10" s="70"/>
      <x:c r="D10" s="70"/>
      <x:c r="E10" s="70"/>
      <x:c r="F10" s="70"/>
    </x:row>
    <x:row r="11">
      <x:c r="A11" s="130" t="str">
        <x:v>Risk Score = Likelihood x Impact. Ratings: 1-4 Low, 5-9 Medium, 10-16 High, 17-25 Critical. Justification is required for auditability; a score should never be assumed without evidence.</x:v>
      </x:c>
      <x:c r="B11" s="131" t="str">
        <x:v>Risk Score = Likelihood x Impact. Ratings: 1-4 Low, 5-9 Medium, 10-16 High, 17-25 Critical. Justification is required for auditability; a score should never be assumed without evidence.</x:v>
      </x:c>
      <x:c r="C11" s="131" t="str">
        <x:v>Risk Score = Likelihood x Impact. Ratings: 1-4 Low, 5-9 Medium, 10-16 High, 17-25 Critical. Justification is required for auditability; a score should never be assumed without evidence.</x:v>
      </x:c>
      <x:c r="D11" s="131" t="str">
        <x:v>Risk Score = Likelihood x Impact. Ratings: 1-4 Low, 5-9 Medium, 10-16 High, 17-25 Critical. Justification is required for auditability; a score should never be assumed without evidence.</x:v>
      </x:c>
      <x:c r="E11" s="131" t="str">
        <x:v>Risk Score = Likelihood x Impact. Ratings: 1-4 Low, 5-9 Medium, 10-16 High, 17-25 Critical. Justification is required for auditability; a score should never be assumed without evidence.</x:v>
      </x:c>
      <x:c r="F11" s="132" t="str">
        <x:v>Risk Score = Likelihood x Impact. Ratings: 1-4 Low, 5-9 Medium, 10-16 High, 17-25 Critical. Justification is required for auditability; a score should never be assumed without evidence.</x:v>
      </x:c>
    </x:row>
    <x:row r="12">
      <x:c r="A12" s="133" t="str">
        <x:v>Risk Score = Likelihood x Impact. Ratings: 1-4 Low, 5-9 Medium, 10-16 High, 17-25 Critical. Justification is required for auditability; a score should never be assumed without evidence.</x:v>
      </x:c>
      <x:c r="B12" s="134" t="str">
        <x:v>Risk Score = Likelihood x Impact. Ratings: 1-4 Low, 5-9 Medium, 10-16 High, 17-25 Critical. Justification is required for auditability; a score should never be assumed without evidence.</x:v>
      </x:c>
      <x:c r="C12" s="134" t="str">
        <x:v>Risk Score = Likelihood x Impact. Ratings: 1-4 Low, 5-9 Medium, 10-16 High, 17-25 Critical. Justification is required for auditability; a score should never be assumed without evidence.</x:v>
      </x:c>
      <x:c r="D12" s="134" t="str">
        <x:v>Risk Score = Likelihood x Impact. Ratings: 1-4 Low, 5-9 Medium, 10-16 High, 17-25 Critical. Justification is required for auditability; a score should never be assumed without evidence.</x:v>
      </x:c>
      <x:c r="E12" s="134" t="str">
        <x:v>Risk Score = Likelihood x Impact. Ratings: 1-4 Low, 5-9 Medium, 10-16 High, 17-25 Critical. Justification is required for auditability; a score should never be assumed without evidence.</x:v>
      </x:c>
      <x:c r="F12" s="135" t="str">
        <x:v>Risk Score = Likelihood x Impact. Ratings: 1-4 Low, 5-9 Medium, 10-16 High, 17-25 Critical. Justification is required for auditability; a score should never be assumed without evidence.</x:v>
      </x:c>
    </x:row>
  </x:sheetData>
  <x:mergeCells>
    <x:mergeCell ref="A1:F2"/>
    <x:mergeCell ref="A11:F12"/>
  </x:mergeCells>
  <x:pageMargins left="0.7" right="0.7" top="0.75" bottom="0.75" header="0.3" footer="0.3"/>
</x:worksheet>
</file>